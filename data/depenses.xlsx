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dmond\OneDrive\Desktop\"/>
    </mc:Choice>
  </mc:AlternateContent>
  <xr:revisionPtr revIDLastSave="0" documentId="13_ncr:1_{09AF77B2-51A7-4465-B442-9222A8D28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1" l="1"/>
  <c r="D76" i="1"/>
  <c r="D75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80" i="1"/>
  <c r="D81" i="1" s="1"/>
  <c r="D83" i="1"/>
  <c r="D84" i="1"/>
  <c r="D85" i="1"/>
  <c r="D86" i="1"/>
  <c r="D87" i="1"/>
  <c r="D88" i="1"/>
  <c r="D89" i="1"/>
  <c r="D92" i="1"/>
  <c r="D93" i="1"/>
  <c r="D94" i="1"/>
  <c r="D46" i="1"/>
  <c r="D43" i="1"/>
  <c r="D39" i="1"/>
  <c r="D40" i="1"/>
  <c r="D41" i="1"/>
  <c r="D42" i="1"/>
  <c r="D38" i="1"/>
  <c r="D24" i="1"/>
  <c r="D25" i="1" s="1"/>
  <c r="D20" i="1"/>
  <c r="D21" i="1"/>
  <c r="D19" i="1"/>
  <c r="D22" i="1" s="1"/>
  <c r="D16" i="1"/>
  <c r="D8" i="1"/>
  <c r="D9" i="1"/>
  <c r="D10" i="1"/>
  <c r="D11" i="1"/>
  <c r="D12" i="1"/>
  <c r="D13" i="1"/>
  <c r="D14" i="1"/>
  <c r="D15" i="1"/>
  <c r="D7" i="1"/>
  <c r="D77" i="1" l="1"/>
  <c r="D90" i="1"/>
  <c r="D95" i="1"/>
  <c r="D17" i="1"/>
  <c r="D44" i="1"/>
  <c r="D102" i="1" l="1"/>
</calcChain>
</file>

<file path=xl/sharedStrings.xml><?xml version="1.0" encoding="utf-8"?>
<sst xmlns="http://schemas.openxmlformats.org/spreadsheetml/2006/main" count="101" uniqueCount="100">
  <si>
    <t>DESIGNATION</t>
  </si>
  <si>
    <t>MONTANT</t>
  </si>
  <si>
    <t xml:space="preserve">PRIX UNITAIRE </t>
  </si>
  <si>
    <t>SAAF</t>
  </si>
  <si>
    <t>CERCEUIL</t>
  </si>
  <si>
    <t>QUANTITE</t>
  </si>
  <si>
    <t>PLAQUE D'IDENTIFICATION</t>
  </si>
  <si>
    <t>CROIX</t>
  </si>
  <si>
    <t>CONSERVATION ET PRISE EN CHARGE</t>
  </si>
  <si>
    <t>TRAITEMENT DU CORPS</t>
  </si>
  <si>
    <t>COURONNE</t>
  </si>
  <si>
    <t>TENUE COMPLETE</t>
  </si>
  <si>
    <t>POLIANNE</t>
  </si>
  <si>
    <t>SCOTCH</t>
  </si>
  <si>
    <t>EXPOSITION DU CORPS (2H) AVEC TOUT</t>
  </si>
  <si>
    <t>TOTAL BUDGET PROVISOIRE SAAF</t>
  </si>
  <si>
    <t>BUDGET CEREMONIE D'EXPOSITION A SAAF DE 2H</t>
  </si>
  <si>
    <t>EAU MINERALE</t>
  </si>
  <si>
    <t>CHEWING-GUM</t>
  </si>
  <si>
    <t xml:space="preserve">BONBONS </t>
  </si>
  <si>
    <t>TOTAL BUDGET PROVISOIRE EXPOSITION A SAAF</t>
  </si>
  <si>
    <t>TRANSPORT DU CORPS ET DE LA FAMILLE LBV-MAYUMBA-LBV</t>
  </si>
  <si>
    <t>LOCATION DU BUS COASTER</t>
  </si>
  <si>
    <t>TOTAL BUDGET TRANSPORT</t>
  </si>
  <si>
    <t>CAVEAU</t>
  </si>
  <si>
    <t>CREUSAGE</t>
  </si>
  <si>
    <t>BRIQUES</t>
  </si>
  <si>
    <t>SACS DE CIMENT</t>
  </si>
  <si>
    <t>SACS DE SABLE</t>
  </si>
  <si>
    <t>SACS DE GRAVIER</t>
  </si>
  <si>
    <t>LATTES</t>
  </si>
  <si>
    <t>POINTES</t>
  </si>
  <si>
    <t>BARRES DE FER</t>
  </si>
  <si>
    <t>MAIN D'ŒUVRE</t>
  </si>
  <si>
    <t>TOTAL BUDGET CAVEAU</t>
  </si>
  <si>
    <t>VEILLEE A MAYUMBA</t>
  </si>
  <si>
    <t>PETITE TENTE</t>
  </si>
  <si>
    <t>GRANDE TENTE</t>
  </si>
  <si>
    <t>CHAISE</t>
  </si>
  <si>
    <t>CHAPELLE</t>
  </si>
  <si>
    <t>BOUGIE</t>
  </si>
  <si>
    <t>SONO (GRATUIT)</t>
  </si>
  <si>
    <t>TOTAL BUDGET VEILLEE MAYUMBA</t>
  </si>
  <si>
    <t>RESTAURATION A MAYUMBA</t>
  </si>
  <si>
    <t>CARTON DE PILON</t>
  </si>
  <si>
    <t>CARTON DES AILES DE POULET</t>
  </si>
  <si>
    <t>CARTON DE COTIS</t>
  </si>
  <si>
    <t>SAC DE RIZ DE 25KG</t>
  </si>
  <si>
    <t>BIDON D'HUILE DE 20L</t>
  </si>
  <si>
    <t>SEL DE 5KG</t>
  </si>
  <si>
    <t>SAC D'OIGNONS</t>
  </si>
  <si>
    <t>CONDIMENTS VERT</t>
  </si>
  <si>
    <t>AIL</t>
  </si>
  <si>
    <t>POISSON</t>
  </si>
  <si>
    <t>VIANDE DE BROUSSE</t>
  </si>
  <si>
    <t>BANANE</t>
  </si>
  <si>
    <t>MANIOC</t>
  </si>
  <si>
    <t>TUBERCULES</t>
  </si>
  <si>
    <t>OBERGINES</t>
  </si>
  <si>
    <t>OSEILLE</t>
  </si>
  <si>
    <t>POISSON FUME</t>
  </si>
  <si>
    <t>BOITES SARDINES</t>
  </si>
  <si>
    <t>BOITES  TOMATES ENTIERES</t>
  </si>
  <si>
    <t>BOITE  TOMATE CONCENTRE (GROSSE)</t>
  </si>
  <si>
    <t>BOITE DE LAIT</t>
  </si>
  <si>
    <t>PAQUET DE SUCRE</t>
  </si>
  <si>
    <t>NESCAFE STICK</t>
  </si>
  <si>
    <t>THE</t>
  </si>
  <si>
    <t xml:space="preserve">WHISKY </t>
  </si>
  <si>
    <t>PALETTE D'ŒUFS</t>
  </si>
  <si>
    <t>PATE</t>
  </si>
  <si>
    <t>BEURE JADIDA (GROS POT)</t>
  </si>
  <si>
    <t>PAIN</t>
  </si>
  <si>
    <t>TOTAL BUDGET RESTAURATION A MAYUMBA</t>
  </si>
  <si>
    <t>MAYONAISE</t>
  </si>
  <si>
    <t>MOUTARDE</t>
  </si>
  <si>
    <t>BOISSON</t>
  </si>
  <si>
    <t>BOISSON ALCOLISEE ET NON ALCOLISEE</t>
  </si>
  <si>
    <t>TOTAL BUDGET BOISSON A MAYUMBA</t>
  </si>
  <si>
    <t>VAISSELLE ET NETOYAGE</t>
  </si>
  <si>
    <t>LIQUIDE VAISSELLE</t>
  </si>
  <si>
    <t>ESSUIE TOUT</t>
  </si>
  <si>
    <t>PAPIER HYGIENIQUE</t>
  </si>
  <si>
    <t>LAVE MARMITE</t>
  </si>
  <si>
    <t>PAQUET D'EPONGE</t>
  </si>
  <si>
    <t>SAVON EN POUDRE</t>
  </si>
  <si>
    <t>SACHET POUBELLE</t>
  </si>
  <si>
    <t>TOTAL BUDGET VAISSELLE ET NETOYAGE</t>
  </si>
  <si>
    <t>COMMUNICATION</t>
  </si>
  <si>
    <t>PROJECTEUR (GRATUIT)</t>
  </si>
  <si>
    <t>BANDEROLE (PRIS EN CHARGE)</t>
  </si>
  <si>
    <t>CADRE +PHOTO)</t>
  </si>
  <si>
    <t>TOTAL BUDGET COMMUNICATION</t>
  </si>
  <si>
    <t>DIVERS</t>
  </si>
  <si>
    <t>TRANSPORT DES EFFETS TCHIBANGA-MAYUMBA</t>
  </si>
  <si>
    <t>IMPREVU</t>
  </si>
  <si>
    <t>ELECTRICITE DU SITE</t>
  </si>
  <si>
    <t xml:space="preserve">TOTAL BUDGET DIVERS </t>
  </si>
  <si>
    <t>BUDGET PROVISOIRE DES OBSEQUES DE FEU MAKOSSO POATHY JEAN PIERRE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</si>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</sst>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sz val="12"/>
      <color theme="1"/>
      <name val="Aptos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5" fontId="0" fillId="0" borderId="0" xfId="1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3" fillId="2" borderId="4" xfId="1" applyNumberFormat="1" applyFont="1" applyFill="1" applyBorder="1"/>
    <xf numFmtId="0" fontId="3" fillId="2" borderId="1" xfId="0" applyFont="1" applyFill="1" applyBorder="1"/>
    <xf numFmtId="0" fontId="2" fillId="0" borderId="5" xfId="0" applyFont="1" applyBorder="1"/>
    <xf numFmtId="0" fontId="2" fillId="0" borderId="0" xfId="0" applyFont="1" applyBorder="1"/>
    <xf numFmtId="165" fontId="2" fillId="0" borderId="6" xfId="1" applyNumberFormat="1" applyFont="1" applyBorder="1"/>
    <xf numFmtId="0" fontId="3" fillId="0" borderId="5" xfId="0" applyFont="1" applyBorder="1"/>
    <xf numFmtId="0" fontId="3" fillId="0" borderId="0" xfId="0" applyFont="1" applyBorder="1"/>
    <xf numFmtId="165" fontId="3" fillId="0" borderId="6" xfId="1" applyNumberFormat="1" applyFont="1" applyBorder="1"/>
    <xf numFmtId="0" fontId="5" fillId="0" borderId="5" xfId="0" applyFont="1" applyBorder="1"/>
    <xf numFmtId="165" fontId="3" fillId="0" borderId="5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165" fontId="0" fillId="0" borderId="6" xfId="1" applyNumberFormat="1" applyFont="1" applyBorder="1"/>
    <xf numFmtId="165" fontId="3" fillId="2" borderId="2" xfId="1" applyNumberFormat="1" applyFont="1" applyFill="1" applyBorder="1" applyAlignment="1">
      <alignment horizontal="center"/>
    </xf>
    <xf numFmtId="165" fontId="3" fillId="2" borderId="3" xfId="1" applyNumberFormat="1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2" borderId="8" xfId="0" applyFont="1" applyFill="1" applyBorder="1"/>
    <xf numFmtId="165" fontId="6" fillId="2" borderId="9" xfId="1" applyNumberFormat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3" fillId="2" borderId="1" xfId="1" applyNumberFormat="1" applyFont="1" applyFill="1" applyBorder="1"/>
    <xf numFmtId="165" fontId="2" fillId="0" borderId="0" xfId="1" applyNumberFormat="1" applyFont="1" applyBorder="1"/>
    <xf numFmtId="165" fontId="3" fillId="0" borderId="0" xfId="1" applyNumberFormat="1" applyFont="1" applyBorder="1"/>
    <xf numFmtId="165" fontId="0" fillId="0" borderId="0" xfId="1" applyNumberFormat="1" applyFont="1" applyBorder="1"/>
    <xf numFmtId="165" fontId="6" fillId="2" borderId="8" xfId="1" applyNumberFormat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2"/>
  <sheetViews>
    <sheetView tabSelected="1" topLeftCell="A77" workbookViewId="0">
      <selection activeCell="B79" sqref="B79"/>
    </sheetView>
  </sheetViews>
  <sheetFormatPr baseColWidth="10" defaultColWidth="8.88671875" defaultRowHeight="14.4" x14ac:dyDescent="0.3"/>
  <cols>
    <col min="1" max="1" width="45.6640625" bestFit="1" customWidth="1"/>
    <col min="2" max="2" width="16.109375" style="1" bestFit="1" customWidth="1"/>
    <col min="3" max="3" width="10.21875" bestFit="1" customWidth="1"/>
    <col min="4" max="4" width="22.109375" style="1" customWidth="1"/>
  </cols>
  <sheetData>
    <row r="2" spans="1:4" ht="15" thickBot="1" x14ac:dyDescent="0.35"/>
    <row r="3" spans="1:4" ht="18.600000000000001" thickBot="1" x14ac:dyDescent="0.4">
      <c r="A3" s="2" t="s">
        <v>98</v>
      </c>
      <c r="B3" s="3"/>
      <c r="C3" s="3"/>
      <c r="D3" s="4"/>
    </row>
    <row r="4" spans="1:4" ht="15" thickBot="1" x14ac:dyDescent="0.35"/>
    <row r="5" spans="1:4" ht="15" thickBot="1" x14ac:dyDescent="0.35">
      <c r="A5" s="6" t="s">
        <v>0</v>
      </c>
      <c r="B5" s="29" t="s">
        <v>2</v>
      </c>
      <c r="C5" s="6" t="s">
        <v>5</v>
      </c>
      <c r="D5" s="5" t="s">
        <v>1</v>
      </c>
    </row>
    <row r="6" spans="1:4" ht="15" thickBot="1" x14ac:dyDescent="0.35">
      <c r="A6" s="26" t="s">
        <v>3</v>
      </c>
      <c r="B6" s="27"/>
      <c r="C6" s="27"/>
      <c r="D6" s="28"/>
    </row>
    <row r="7" spans="1:4" x14ac:dyDescent="0.3">
      <c r="A7" s="7" t="s">
        <v>4</v>
      </c>
      <c r="B7" s="30">
        <v>535680</v>
      </c>
      <c r="C7" s="8">
        <v>1</v>
      </c>
      <c r="D7" s="9">
        <f>B7*C7</f>
        <v>535680</v>
      </c>
    </row>
    <row r="8" spans="1:4" x14ac:dyDescent="0.3">
      <c r="A8" s="7" t="s">
        <v>6</v>
      </c>
      <c r="B8" s="30">
        <v>30000</v>
      </c>
      <c r="C8" s="8">
        <v>1</v>
      </c>
      <c r="D8" s="9">
        <f t="shared" ref="D8:D16" si="0">B8*C8</f>
        <v>30000</v>
      </c>
    </row>
    <row r="9" spans="1:4" x14ac:dyDescent="0.3">
      <c r="A9" s="7" t="s">
        <v>7</v>
      </c>
      <c r="B9" s="30">
        <v>12400</v>
      </c>
      <c r="C9" s="8">
        <v>1</v>
      </c>
      <c r="D9" s="9">
        <f t="shared" si="0"/>
        <v>12400</v>
      </c>
    </row>
    <row r="10" spans="1:4" x14ac:dyDescent="0.3">
      <c r="A10" s="7" t="s">
        <v>8</v>
      </c>
      <c r="B10" s="30">
        <v>12400</v>
      </c>
      <c r="C10" s="8">
        <v>24</v>
      </c>
      <c r="D10" s="9">
        <f t="shared" si="0"/>
        <v>297600</v>
      </c>
    </row>
    <row r="11" spans="1:4" x14ac:dyDescent="0.3">
      <c r="A11" s="7" t="s">
        <v>9</v>
      </c>
      <c r="B11" s="30">
        <v>111600</v>
      </c>
      <c r="C11" s="8">
        <v>1</v>
      </c>
      <c r="D11" s="9">
        <f t="shared" si="0"/>
        <v>111600</v>
      </c>
    </row>
    <row r="12" spans="1:4" x14ac:dyDescent="0.3">
      <c r="A12" s="7" t="s">
        <v>10</v>
      </c>
      <c r="B12" s="30">
        <v>70000</v>
      </c>
      <c r="C12" s="8">
        <v>1</v>
      </c>
      <c r="D12" s="9">
        <f t="shared" si="0"/>
        <v>70000</v>
      </c>
    </row>
    <row r="13" spans="1:4" x14ac:dyDescent="0.3">
      <c r="A13" s="7" t="s">
        <v>11</v>
      </c>
      <c r="B13" s="30">
        <v>100000</v>
      </c>
      <c r="C13" s="8">
        <v>1</v>
      </c>
      <c r="D13" s="9">
        <f t="shared" si="0"/>
        <v>100000</v>
      </c>
    </row>
    <row r="14" spans="1:4" x14ac:dyDescent="0.3">
      <c r="A14" s="7" t="s">
        <v>12</v>
      </c>
      <c r="B14" s="30">
        <v>10000</v>
      </c>
      <c r="C14" s="8">
        <v>1</v>
      </c>
      <c r="D14" s="9">
        <f t="shared" si="0"/>
        <v>10000</v>
      </c>
    </row>
    <row r="15" spans="1:4" x14ac:dyDescent="0.3">
      <c r="A15" s="7" t="s">
        <v>13</v>
      </c>
      <c r="B15" s="30">
        <v>1000</v>
      </c>
      <c r="C15" s="8">
        <v>1</v>
      </c>
      <c r="D15" s="9">
        <f t="shared" si="0"/>
        <v>1000</v>
      </c>
    </row>
    <row r="16" spans="1:4" x14ac:dyDescent="0.3">
      <c r="A16" s="7" t="s">
        <v>14</v>
      </c>
      <c r="B16" s="30">
        <v>142000</v>
      </c>
      <c r="C16" s="8">
        <v>1</v>
      </c>
      <c r="D16" s="9">
        <f t="shared" si="0"/>
        <v>142000</v>
      </c>
    </row>
    <row r="17" spans="1:4" ht="15" thickBot="1" x14ac:dyDescent="0.35">
      <c r="A17" s="10" t="s">
        <v>15</v>
      </c>
      <c r="B17" s="31"/>
      <c r="C17" s="11"/>
      <c r="D17" s="12">
        <f>SUM(D7:D16)</f>
        <v>1310280</v>
      </c>
    </row>
    <row r="18" spans="1:4" ht="15" thickBot="1" x14ac:dyDescent="0.35">
      <c r="A18" s="26" t="s">
        <v>16</v>
      </c>
      <c r="B18" s="27"/>
      <c r="C18" s="27"/>
      <c r="D18" s="28"/>
    </row>
    <row r="19" spans="1:4" x14ac:dyDescent="0.3">
      <c r="A19" s="7" t="s">
        <v>17</v>
      </c>
      <c r="B19" s="30">
        <v>200</v>
      </c>
      <c r="C19" s="8">
        <v>200</v>
      </c>
      <c r="D19" s="9">
        <f>B19*C19</f>
        <v>40000</v>
      </c>
    </row>
    <row r="20" spans="1:4" ht="15.6" x14ac:dyDescent="0.3">
      <c r="A20" s="13" t="s">
        <v>18</v>
      </c>
      <c r="B20" s="30">
        <v>1250</v>
      </c>
      <c r="C20" s="8">
        <v>2</v>
      </c>
      <c r="D20" s="9">
        <f t="shared" ref="D20:D21" si="1">B20*C20</f>
        <v>2500</v>
      </c>
    </row>
    <row r="21" spans="1:4" x14ac:dyDescent="0.3">
      <c r="A21" s="7" t="s">
        <v>19</v>
      </c>
      <c r="B21" s="30">
        <v>1250</v>
      </c>
      <c r="C21" s="8">
        <v>2</v>
      </c>
      <c r="D21" s="9">
        <f t="shared" si="1"/>
        <v>2500</v>
      </c>
    </row>
    <row r="22" spans="1:4" ht="15" thickBot="1" x14ac:dyDescent="0.35">
      <c r="A22" s="10" t="s">
        <v>20</v>
      </c>
      <c r="B22" s="31"/>
      <c r="C22" s="11"/>
      <c r="D22" s="12">
        <f>SUM(D19:D21)</f>
        <v>45000</v>
      </c>
    </row>
    <row r="23" spans="1:4" ht="15" thickBot="1" x14ac:dyDescent="0.35">
      <c r="A23" s="26" t="s">
        <v>21</v>
      </c>
      <c r="B23" s="27"/>
      <c r="C23" s="27"/>
      <c r="D23" s="28"/>
    </row>
    <row r="24" spans="1:4" x14ac:dyDescent="0.3">
      <c r="A24" s="7" t="s">
        <v>22</v>
      </c>
      <c r="B24" s="30">
        <v>850000</v>
      </c>
      <c r="C24" s="8">
        <v>1</v>
      </c>
      <c r="D24" s="9">
        <f>B24*C24</f>
        <v>850000</v>
      </c>
    </row>
    <row r="25" spans="1:4" ht="15" thickBot="1" x14ac:dyDescent="0.35">
      <c r="A25" s="10" t="s">
        <v>23</v>
      </c>
      <c r="B25" s="31"/>
      <c r="C25" s="11"/>
      <c r="D25" s="12">
        <f>SUM(D24)</f>
        <v>850000</v>
      </c>
    </row>
    <row r="26" spans="1:4" ht="15" thickBot="1" x14ac:dyDescent="0.35">
      <c r="A26" s="26" t="s">
        <v>24</v>
      </c>
      <c r="B26" s="27"/>
      <c r="C26" s="27"/>
      <c r="D26" s="28"/>
    </row>
    <row r="27" spans="1:4" x14ac:dyDescent="0.3">
      <c r="A27" s="7" t="s">
        <v>25</v>
      </c>
      <c r="B27" s="30"/>
      <c r="C27" s="8"/>
      <c r="D27" s="9"/>
    </row>
    <row r="28" spans="1:4" x14ac:dyDescent="0.3">
      <c r="A28" s="7" t="s">
        <v>26</v>
      </c>
      <c r="B28" s="30"/>
      <c r="C28" s="8"/>
      <c r="D28" s="9"/>
    </row>
    <row r="29" spans="1:4" x14ac:dyDescent="0.3">
      <c r="A29" s="7" t="s">
        <v>27</v>
      </c>
      <c r="B29" s="30"/>
      <c r="C29" s="8"/>
      <c r="D29" s="9"/>
    </row>
    <row r="30" spans="1:4" x14ac:dyDescent="0.3">
      <c r="A30" s="7" t="s">
        <v>30</v>
      </c>
      <c r="B30" s="30"/>
      <c r="C30" s="8"/>
      <c r="D30" s="9"/>
    </row>
    <row r="31" spans="1:4" x14ac:dyDescent="0.3">
      <c r="A31" s="7" t="s">
        <v>29</v>
      </c>
      <c r="B31" s="30"/>
      <c r="C31" s="8"/>
      <c r="D31" s="9"/>
    </row>
    <row r="32" spans="1:4" x14ac:dyDescent="0.3">
      <c r="A32" s="7" t="s">
        <v>28</v>
      </c>
      <c r="B32" s="30"/>
      <c r="C32" s="8"/>
      <c r="D32" s="9"/>
    </row>
    <row r="33" spans="1:4" x14ac:dyDescent="0.3">
      <c r="A33" s="7" t="s">
        <v>31</v>
      </c>
      <c r="B33" s="30"/>
      <c r="C33" s="8"/>
      <c r="D33" s="9"/>
    </row>
    <row r="34" spans="1:4" x14ac:dyDescent="0.3">
      <c r="A34" s="7" t="s">
        <v>32</v>
      </c>
      <c r="B34" s="30"/>
      <c r="C34" s="8"/>
      <c r="D34" s="9"/>
    </row>
    <row r="35" spans="1:4" x14ac:dyDescent="0.3">
      <c r="A35" s="7" t="s">
        <v>33</v>
      </c>
      <c r="B35" s="30"/>
      <c r="C35" s="8"/>
      <c r="D35" s="9"/>
    </row>
    <row r="36" spans="1:4" ht="15" thickBot="1" x14ac:dyDescent="0.35">
      <c r="A36" s="10" t="s">
        <v>34</v>
      </c>
      <c r="B36" s="31"/>
      <c r="C36" s="11"/>
      <c r="D36" s="12">
        <v>300000</v>
      </c>
    </row>
    <row r="37" spans="1:4" ht="15" thickBot="1" x14ac:dyDescent="0.35">
      <c r="A37" s="26" t="s">
        <v>35</v>
      </c>
      <c r="B37" s="27"/>
      <c r="C37" s="27"/>
      <c r="D37" s="28"/>
    </row>
    <row r="38" spans="1:4" x14ac:dyDescent="0.3">
      <c r="A38" s="7" t="s">
        <v>36</v>
      </c>
      <c r="B38" s="30">
        <v>20000</v>
      </c>
      <c r="C38" s="8">
        <v>2</v>
      </c>
      <c r="D38" s="9">
        <f>B38*C38</f>
        <v>40000</v>
      </c>
    </row>
    <row r="39" spans="1:4" x14ac:dyDescent="0.3">
      <c r="A39" s="7" t="s">
        <v>37</v>
      </c>
      <c r="B39" s="30">
        <v>30000</v>
      </c>
      <c r="C39" s="8">
        <v>1</v>
      </c>
      <c r="D39" s="9">
        <f t="shared" ref="D39:D43" si="2">B39*C39</f>
        <v>30000</v>
      </c>
    </row>
    <row r="40" spans="1:4" x14ac:dyDescent="0.3">
      <c r="A40" s="7" t="s">
        <v>38</v>
      </c>
      <c r="B40" s="30">
        <v>250</v>
      </c>
      <c r="C40" s="8">
        <v>200</v>
      </c>
      <c r="D40" s="9">
        <f t="shared" si="2"/>
        <v>50000</v>
      </c>
    </row>
    <row r="41" spans="1:4" x14ac:dyDescent="0.3">
      <c r="A41" s="7" t="s">
        <v>39</v>
      </c>
      <c r="B41" s="30">
        <v>70000</v>
      </c>
      <c r="C41" s="8">
        <v>1</v>
      </c>
      <c r="D41" s="9">
        <f t="shared" si="2"/>
        <v>70000</v>
      </c>
    </row>
    <row r="42" spans="1:4" x14ac:dyDescent="0.3">
      <c r="A42" s="7" t="s">
        <v>40</v>
      </c>
      <c r="B42" s="30">
        <v>5000</v>
      </c>
      <c r="C42" s="8">
        <v>2</v>
      </c>
      <c r="D42" s="9">
        <f t="shared" si="2"/>
        <v>10000</v>
      </c>
    </row>
    <row r="43" spans="1:4" x14ac:dyDescent="0.3">
      <c r="A43" s="7" t="s">
        <v>41</v>
      </c>
      <c r="B43" s="30"/>
      <c r="C43" s="8"/>
      <c r="D43" s="9">
        <f t="shared" si="2"/>
        <v>0</v>
      </c>
    </row>
    <row r="44" spans="1:4" ht="15" thickBot="1" x14ac:dyDescent="0.35">
      <c r="A44" s="10" t="s">
        <v>42</v>
      </c>
      <c r="B44" s="31"/>
      <c r="C44" s="11"/>
      <c r="D44" s="12">
        <f>SUM(D38:D43)</f>
        <v>200000</v>
      </c>
    </row>
    <row r="45" spans="1:4" ht="15" thickBot="1" x14ac:dyDescent="0.35">
      <c r="A45" s="26" t="s">
        <v>43</v>
      </c>
      <c r="B45" s="27"/>
      <c r="C45" s="27"/>
      <c r="D45" s="28"/>
    </row>
    <row r="46" spans="1:4" x14ac:dyDescent="0.3">
      <c r="A46" s="7" t="s">
        <v>44</v>
      </c>
      <c r="B46" s="30">
        <v>13200</v>
      </c>
      <c r="C46" s="8">
        <v>2</v>
      </c>
      <c r="D46" s="9">
        <f>B46*C46</f>
        <v>26400</v>
      </c>
    </row>
    <row r="47" spans="1:4" x14ac:dyDescent="0.3">
      <c r="A47" s="7" t="s">
        <v>45</v>
      </c>
      <c r="B47" s="30">
        <v>10500</v>
      </c>
      <c r="C47" s="8">
        <v>2</v>
      </c>
      <c r="D47" s="9">
        <f t="shared" ref="D47:D94" si="3">B47*C47</f>
        <v>21000</v>
      </c>
    </row>
    <row r="48" spans="1:4" x14ac:dyDescent="0.3">
      <c r="A48" s="7" t="s">
        <v>46</v>
      </c>
      <c r="B48" s="30">
        <v>15500</v>
      </c>
      <c r="C48" s="8">
        <v>2</v>
      </c>
      <c r="D48" s="9">
        <f t="shared" si="3"/>
        <v>31000</v>
      </c>
    </row>
    <row r="49" spans="1:4" x14ac:dyDescent="0.3">
      <c r="A49" s="7" t="s">
        <v>47</v>
      </c>
      <c r="B49" s="30">
        <v>10800</v>
      </c>
      <c r="C49" s="8">
        <v>1</v>
      </c>
      <c r="D49" s="9">
        <f t="shared" si="3"/>
        <v>10800</v>
      </c>
    </row>
    <row r="50" spans="1:4" x14ac:dyDescent="0.3">
      <c r="A50" s="7" t="s">
        <v>48</v>
      </c>
      <c r="B50" s="30">
        <v>21500</v>
      </c>
      <c r="C50" s="8">
        <v>1</v>
      </c>
      <c r="D50" s="9">
        <f t="shared" si="3"/>
        <v>21500</v>
      </c>
    </row>
    <row r="51" spans="1:4" x14ac:dyDescent="0.3">
      <c r="A51" s="7" t="s">
        <v>49</v>
      </c>
      <c r="B51" s="30">
        <v>3000</v>
      </c>
      <c r="C51" s="8">
        <v>1</v>
      </c>
      <c r="D51" s="9">
        <f t="shared" si="3"/>
        <v>3000</v>
      </c>
    </row>
    <row r="52" spans="1:4" x14ac:dyDescent="0.3">
      <c r="A52" s="7" t="s">
        <v>50</v>
      </c>
      <c r="B52" s="30">
        <v>5000</v>
      </c>
      <c r="C52" s="8">
        <v>1</v>
      </c>
      <c r="D52" s="9">
        <f t="shared" si="3"/>
        <v>5000</v>
      </c>
    </row>
    <row r="53" spans="1:4" x14ac:dyDescent="0.3">
      <c r="A53" s="7" t="s">
        <v>51</v>
      </c>
      <c r="B53" s="30">
        <v>10000</v>
      </c>
      <c r="C53" s="8">
        <v>1</v>
      </c>
      <c r="D53" s="9">
        <f t="shared" si="3"/>
        <v>10000</v>
      </c>
    </row>
    <row r="54" spans="1:4" x14ac:dyDescent="0.3">
      <c r="A54" s="7" t="s">
        <v>52</v>
      </c>
      <c r="B54" s="30">
        <v>2000</v>
      </c>
      <c r="C54" s="8">
        <v>1</v>
      </c>
      <c r="D54" s="9">
        <f t="shared" si="3"/>
        <v>2000</v>
      </c>
    </row>
    <row r="55" spans="1:4" x14ac:dyDescent="0.3">
      <c r="A55" s="7" t="s">
        <v>53</v>
      </c>
      <c r="B55" s="30">
        <v>30000</v>
      </c>
      <c r="C55" s="8">
        <v>1</v>
      </c>
      <c r="D55" s="9">
        <f t="shared" si="3"/>
        <v>30000</v>
      </c>
    </row>
    <row r="56" spans="1:4" x14ac:dyDescent="0.3">
      <c r="A56" s="7" t="s">
        <v>54</v>
      </c>
      <c r="B56" s="30">
        <v>20000</v>
      </c>
      <c r="C56" s="8">
        <v>1</v>
      </c>
      <c r="D56" s="9">
        <f t="shared" si="3"/>
        <v>20000</v>
      </c>
    </row>
    <row r="57" spans="1:4" x14ac:dyDescent="0.3">
      <c r="A57" s="7" t="s">
        <v>55</v>
      </c>
      <c r="B57" s="30">
        <v>20000</v>
      </c>
      <c r="C57" s="8">
        <v>1</v>
      </c>
      <c r="D57" s="9">
        <f t="shared" si="3"/>
        <v>20000</v>
      </c>
    </row>
    <row r="58" spans="1:4" x14ac:dyDescent="0.3">
      <c r="A58" s="7" t="s">
        <v>56</v>
      </c>
      <c r="B58" s="30">
        <v>10000</v>
      </c>
      <c r="C58" s="8">
        <v>1</v>
      </c>
      <c r="D58" s="9">
        <f t="shared" si="3"/>
        <v>10000</v>
      </c>
    </row>
    <row r="59" spans="1:4" x14ac:dyDescent="0.3">
      <c r="A59" s="7" t="s">
        <v>57</v>
      </c>
      <c r="B59" s="30">
        <v>15000</v>
      </c>
      <c r="C59" s="8">
        <v>1</v>
      </c>
      <c r="D59" s="9">
        <f t="shared" si="3"/>
        <v>15000</v>
      </c>
    </row>
    <row r="60" spans="1:4" x14ac:dyDescent="0.3">
      <c r="A60" s="7" t="s">
        <v>58</v>
      </c>
      <c r="B60" s="30">
        <v>5000</v>
      </c>
      <c r="C60" s="8">
        <v>1</v>
      </c>
      <c r="D60" s="9">
        <f t="shared" si="3"/>
        <v>5000</v>
      </c>
    </row>
    <row r="61" spans="1:4" x14ac:dyDescent="0.3">
      <c r="A61" s="7" t="s">
        <v>59</v>
      </c>
      <c r="B61" s="30">
        <v>1000</v>
      </c>
      <c r="C61" s="8">
        <v>1</v>
      </c>
      <c r="D61" s="9">
        <f t="shared" si="3"/>
        <v>1000</v>
      </c>
    </row>
    <row r="62" spans="1:4" x14ac:dyDescent="0.3">
      <c r="A62" s="7" t="s">
        <v>60</v>
      </c>
      <c r="B62" s="30">
        <v>5000</v>
      </c>
      <c r="C62" s="8">
        <v>1</v>
      </c>
      <c r="D62" s="9">
        <f t="shared" si="3"/>
        <v>5000</v>
      </c>
    </row>
    <row r="63" spans="1:4" x14ac:dyDescent="0.3">
      <c r="A63" s="7" t="s">
        <v>61</v>
      </c>
      <c r="B63" s="30">
        <v>575</v>
      </c>
      <c r="C63" s="8">
        <v>10</v>
      </c>
      <c r="D63" s="9">
        <f t="shared" si="3"/>
        <v>5750</v>
      </c>
    </row>
    <row r="64" spans="1:4" x14ac:dyDescent="0.3">
      <c r="A64" s="7" t="s">
        <v>62</v>
      </c>
      <c r="B64" s="30">
        <v>500</v>
      </c>
      <c r="C64" s="8">
        <v>6</v>
      </c>
      <c r="D64" s="9">
        <f t="shared" si="3"/>
        <v>3000</v>
      </c>
    </row>
    <row r="65" spans="1:4" x14ac:dyDescent="0.3">
      <c r="A65" s="7" t="s">
        <v>63</v>
      </c>
      <c r="B65" s="30">
        <v>5000</v>
      </c>
      <c r="C65" s="8">
        <v>1</v>
      </c>
      <c r="D65" s="9">
        <f t="shared" si="3"/>
        <v>5000</v>
      </c>
    </row>
    <row r="66" spans="1:4" x14ac:dyDescent="0.3">
      <c r="A66" s="7" t="s">
        <v>64</v>
      </c>
      <c r="B66" s="30">
        <v>1650</v>
      </c>
      <c r="C66" s="8">
        <v>10</v>
      </c>
      <c r="D66" s="9">
        <f t="shared" si="3"/>
        <v>16500</v>
      </c>
    </row>
    <row r="67" spans="1:4" x14ac:dyDescent="0.3">
      <c r="A67" s="7" t="s">
        <v>65</v>
      </c>
      <c r="B67" s="30">
        <v>1000</v>
      </c>
      <c r="C67" s="8">
        <v>10</v>
      </c>
      <c r="D67" s="9">
        <f t="shared" si="3"/>
        <v>10000</v>
      </c>
    </row>
    <row r="68" spans="1:4" x14ac:dyDescent="0.3">
      <c r="A68" s="7" t="s">
        <v>66</v>
      </c>
      <c r="B68" s="30">
        <v>6175</v>
      </c>
      <c r="C68" s="8">
        <v>3</v>
      </c>
      <c r="D68" s="9">
        <f t="shared" si="3"/>
        <v>18525</v>
      </c>
    </row>
    <row r="69" spans="1:4" x14ac:dyDescent="0.3">
      <c r="A69" s="7" t="s">
        <v>67</v>
      </c>
      <c r="B69" s="30">
        <v>4000</v>
      </c>
      <c r="C69" s="8">
        <v>2</v>
      </c>
      <c r="D69" s="9">
        <f t="shared" si="3"/>
        <v>8000</v>
      </c>
    </row>
    <row r="70" spans="1:4" x14ac:dyDescent="0.3">
      <c r="A70" s="7" t="s">
        <v>68</v>
      </c>
      <c r="B70" s="30">
        <v>3000</v>
      </c>
      <c r="C70" s="8">
        <v>2</v>
      </c>
      <c r="D70" s="9">
        <f t="shared" si="3"/>
        <v>6000</v>
      </c>
    </row>
    <row r="71" spans="1:4" x14ac:dyDescent="0.3">
      <c r="A71" s="7" t="s">
        <v>69</v>
      </c>
      <c r="B71" s="30">
        <v>4000</v>
      </c>
      <c r="C71" s="8">
        <v>2</v>
      </c>
      <c r="D71" s="9">
        <f t="shared" si="3"/>
        <v>8000</v>
      </c>
    </row>
    <row r="72" spans="1:4" x14ac:dyDescent="0.3">
      <c r="A72" s="7" t="s">
        <v>70</v>
      </c>
      <c r="B72" s="30">
        <v>2950</v>
      </c>
      <c r="C72" s="8">
        <v>3</v>
      </c>
      <c r="D72" s="9">
        <f t="shared" si="3"/>
        <v>8850</v>
      </c>
    </row>
    <row r="73" spans="1:4" x14ac:dyDescent="0.3">
      <c r="A73" s="7" t="s">
        <v>71</v>
      </c>
      <c r="B73" s="30">
        <v>11000</v>
      </c>
      <c r="C73" s="8">
        <v>1</v>
      </c>
      <c r="D73" s="9">
        <f t="shared" si="3"/>
        <v>11000</v>
      </c>
    </row>
    <row r="74" spans="1:4" x14ac:dyDescent="0.3">
      <c r="A74" s="7" t="s">
        <v>72</v>
      </c>
      <c r="B74" s="30">
        <v>150</v>
      </c>
      <c r="C74" s="8">
        <v>100</v>
      </c>
      <c r="D74" s="9">
        <f t="shared" si="3"/>
        <v>15000</v>
      </c>
    </row>
    <row r="75" spans="1:4" x14ac:dyDescent="0.3">
      <c r="A75" s="7" t="s">
        <v>74</v>
      </c>
      <c r="B75" s="30">
        <v>2950</v>
      </c>
      <c r="C75" s="8">
        <v>2</v>
      </c>
      <c r="D75" s="9">
        <f t="shared" si="3"/>
        <v>5900</v>
      </c>
    </row>
    <row r="76" spans="1:4" x14ac:dyDescent="0.3">
      <c r="A76" s="7" t="s">
        <v>75</v>
      </c>
      <c r="B76" s="30">
        <v>2500</v>
      </c>
      <c r="C76" s="8">
        <v>2</v>
      </c>
      <c r="D76" s="9">
        <f t="shared" si="3"/>
        <v>5000</v>
      </c>
    </row>
    <row r="77" spans="1:4" ht="15" thickBot="1" x14ac:dyDescent="0.35">
      <c r="A77" s="10" t="s">
        <v>73</v>
      </c>
      <c r="B77" s="31"/>
      <c r="C77" s="11"/>
      <c r="D77" s="12">
        <f>SUM(D46:D76)</f>
        <v>363225</v>
      </c>
    </row>
    <row r="78" spans="1:4" ht="15" thickBot="1" x14ac:dyDescent="0.35">
      <c r="A78" s="20" t="s">
        <v>76</v>
      </c>
      <c r="B78" s="21"/>
      <c r="C78" s="21"/>
      <c r="D78" s="22"/>
    </row>
    <row r="79" spans="1:4" x14ac:dyDescent="0.3">
      <c r="A79" s="7" t="s">
        <v>77</v>
      </c>
      <c r="B79" s="30"/>
      <c r="C79" s="8"/>
      <c r="D79" s="9">
        <v>300000</v>
      </c>
    </row>
    <row r="80" spans="1:4" x14ac:dyDescent="0.3">
      <c r="A80" s="7" t="s">
        <v>17</v>
      </c>
      <c r="B80" s="30">
        <v>200</v>
      </c>
      <c r="C80" s="8">
        <v>200</v>
      </c>
      <c r="D80" s="9">
        <f t="shared" si="3"/>
        <v>40000</v>
      </c>
    </row>
    <row r="81" spans="1:4" ht="15" thickBot="1" x14ac:dyDescent="0.35">
      <c r="A81" s="10" t="s">
        <v>78</v>
      </c>
      <c r="B81" s="31"/>
      <c r="C81" s="11"/>
      <c r="D81" s="12">
        <f>SUM(D79:D80)</f>
        <v>340000</v>
      </c>
    </row>
    <row r="82" spans="1:4" ht="15" thickBot="1" x14ac:dyDescent="0.35">
      <c r="A82" s="20" t="s">
        <v>79</v>
      </c>
      <c r="B82" s="21"/>
      <c r="C82" s="21"/>
      <c r="D82" s="22"/>
    </row>
    <row r="83" spans="1:4" x14ac:dyDescent="0.3">
      <c r="A83" s="7" t="s">
        <v>80</v>
      </c>
      <c r="B83" s="30">
        <v>4500</v>
      </c>
      <c r="C83" s="8">
        <v>1</v>
      </c>
      <c r="D83" s="9">
        <f t="shared" si="3"/>
        <v>4500</v>
      </c>
    </row>
    <row r="84" spans="1:4" x14ac:dyDescent="0.3">
      <c r="A84" s="7" t="s">
        <v>81</v>
      </c>
      <c r="B84" s="30">
        <v>5500</v>
      </c>
      <c r="C84" s="8">
        <v>2</v>
      </c>
      <c r="D84" s="9">
        <f t="shared" si="3"/>
        <v>11000</v>
      </c>
    </row>
    <row r="85" spans="1:4" x14ac:dyDescent="0.3">
      <c r="A85" s="7" t="s">
        <v>82</v>
      </c>
      <c r="B85" s="30">
        <v>10000</v>
      </c>
      <c r="C85" s="8">
        <v>2</v>
      </c>
      <c r="D85" s="9">
        <f t="shared" si="3"/>
        <v>20000</v>
      </c>
    </row>
    <row r="86" spans="1:4" x14ac:dyDescent="0.3">
      <c r="A86" s="7" t="s">
        <v>84</v>
      </c>
      <c r="B86" s="30">
        <v>1000</v>
      </c>
      <c r="C86" s="8">
        <v>1</v>
      </c>
      <c r="D86" s="9">
        <f t="shared" si="3"/>
        <v>1000</v>
      </c>
    </row>
    <row r="87" spans="1:4" x14ac:dyDescent="0.3">
      <c r="A87" s="7" t="s">
        <v>83</v>
      </c>
      <c r="B87" s="30">
        <v>500</v>
      </c>
      <c r="C87" s="8">
        <v>3</v>
      </c>
      <c r="D87" s="9">
        <f t="shared" si="3"/>
        <v>1500</v>
      </c>
    </row>
    <row r="88" spans="1:4" x14ac:dyDescent="0.3">
      <c r="A88" s="7" t="s">
        <v>85</v>
      </c>
      <c r="B88" s="30">
        <v>1000</v>
      </c>
      <c r="C88" s="8">
        <v>1</v>
      </c>
      <c r="D88" s="9">
        <f t="shared" si="3"/>
        <v>1000</v>
      </c>
    </row>
    <row r="89" spans="1:4" x14ac:dyDescent="0.3">
      <c r="A89" s="7" t="s">
        <v>86</v>
      </c>
      <c r="B89" s="30">
        <v>5700</v>
      </c>
      <c r="C89" s="8">
        <v>2</v>
      </c>
      <c r="D89" s="9">
        <f t="shared" si="3"/>
        <v>11400</v>
      </c>
    </row>
    <row r="90" spans="1:4" ht="15" thickBot="1" x14ac:dyDescent="0.35">
      <c r="A90" s="10" t="s">
        <v>87</v>
      </c>
      <c r="B90" s="31"/>
      <c r="C90" s="11"/>
      <c r="D90" s="12">
        <f>SUM(D83:D83:D89)</f>
        <v>50400</v>
      </c>
    </row>
    <row r="91" spans="1:4" ht="15" thickBot="1" x14ac:dyDescent="0.35">
      <c r="A91" s="20" t="s">
        <v>88</v>
      </c>
      <c r="B91" s="21"/>
      <c r="C91" s="21"/>
      <c r="D91" s="22"/>
    </row>
    <row r="92" spans="1:4" x14ac:dyDescent="0.3">
      <c r="A92" s="7" t="s">
        <v>89</v>
      </c>
      <c r="B92" s="30"/>
      <c r="C92" s="8"/>
      <c r="D92" s="9">
        <f t="shared" si="3"/>
        <v>0</v>
      </c>
    </row>
    <row r="93" spans="1:4" x14ac:dyDescent="0.3">
      <c r="A93" s="7" t="s">
        <v>90</v>
      </c>
      <c r="B93" s="30"/>
      <c r="C93" s="8"/>
      <c r="D93" s="9">
        <f t="shared" si="3"/>
        <v>0</v>
      </c>
    </row>
    <row r="94" spans="1:4" x14ac:dyDescent="0.3">
      <c r="A94" s="7" t="s">
        <v>91</v>
      </c>
      <c r="B94" s="30">
        <v>40000</v>
      </c>
      <c r="C94" s="8">
        <v>1</v>
      </c>
      <c r="D94" s="9">
        <f t="shared" si="3"/>
        <v>40000</v>
      </c>
    </row>
    <row r="95" spans="1:4" x14ac:dyDescent="0.3">
      <c r="A95" s="10" t="s">
        <v>92</v>
      </c>
      <c r="B95" s="31"/>
      <c r="C95" s="11"/>
      <c r="D95" s="12">
        <f>SUM(D92:D94)</f>
        <v>40000</v>
      </c>
    </row>
    <row r="96" spans="1:4" x14ac:dyDescent="0.3">
      <c r="A96" s="14" t="s">
        <v>93</v>
      </c>
      <c r="B96" s="15"/>
      <c r="C96" s="15"/>
      <c r="D96" s="16"/>
    </row>
    <row r="97" spans="1:4" x14ac:dyDescent="0.3">
      <c r="A97" s="7" t="s">
        <v>94</v>
      </c>
      <c r="B97" s="30"/>
      <c r="C97" s="8"/>
      <c r="D97" s="9">
        <v>40000</v>
      </c>
    </row>
    <row r="98" spans="1:4" x14ac:dyDescent="0.3">
      <c r="A98" s="7" t="s">
        <v>96</v>
      </c>
      <c r="B98" s="30"/>
      <c r="C98" s="8"/>
      <c r="D98" s="9">
        <v>50000</v>
      </c>
    </row>
    <row r="99" spans="1:4" x14ac:dyDescent="0.3">
      <c r="A99" s="7" t="s">
        <v>95</v>
      </c>
      <c r="B99" s="30"/>
      <c r="C99" s="8"/>
      <c r="D99" s="9">
        <v>200000</v>
      </c>
    </row>
    <row r="100" spans="1:4" x14ac:dyDescent="0.3">
      <c r="A100" s="10" t="s">
        <v>97</v>
      </c>
      <c r="B100" s="31"/>
      <c r="C100" s="11"/>
      <c r="D100" s="12">
        <f>SUM(D97:D99)</f>
        <v>290000</v>
      </c>
    </row>
    <row r="101" spans="1:4" x14ac:dyDescent="0.3">
      <c r="A101" s="17"/>
      <c r="B101" s="32"/>
      <c r="C101" s="18"/>
      <c r="D101" s="19"/>
    </row>
    <row r="102" spans="1:4" ht="21.6" thickBot="1" x14ac:dyDescent="0.45">
      <c r="A102" s="23" t="s">
        <v>99</v>
      </c>
      <c r="B102" s="33"/>
      <c r="C102" s="24"/>
      <c r="D102" s="25">
        <f>D17+D22+D25+D36+D44+D77+D81+D90+D95+D100</f>
        <v>3788905</v>
      </c>
    </row>
  </sheetData>
  <mergeCells count="11">
    <mergeCell ref="A78:D78"/>
    <mergeCell ref="A82:D82"/>
    <mergeCell ref="A91:D91"/>
    <mergeCell ref="A96:D96"/>
    <mergeCell ref="A3:D3"/>
    <mergeCell ref="A18:D18"/>
    <mergeCell ref="A6:D6"/>
    <mergeCell ref="A23:D23"/>
    <mergeCell ref="A26:D26"/>
    <mergeCell ref="A37:D37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 MAKOUNDI</dc:creator>
  <cp:lastModifiedBy>Gildas MAKOUNDI</cp:lastModifiedBy>
  <dcterms:created xsi:type="dcterms:W3CDTF">2015-06-05T18:19:34Z</dcterms:created>
  <dcterms:modified xsi:type="dcterms:W3CDTF">2026-08-15T00:11:29Z</dcterms:modified>
</cp:coreProperties>
</file>